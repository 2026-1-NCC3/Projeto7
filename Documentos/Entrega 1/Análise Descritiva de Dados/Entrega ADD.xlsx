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25027482\Documents\"/>
    </mc:Choice>
  </mc:AlternateContent>
  <xr:revisionPtr revIDLastSave="0" documentId="8_{0DA6BADB-B61F-47B8-BCC2-4527C4F9513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anco_de_Dados" sheetId="1" r:id="rId1"/>
    <sheet name="Descricao_Variaveis" sheetId="2" r:id="rId2"/>
    <sheet name="Grafico_Sexo" sheetId="4" r:id="rId3"/>
    <sheet name="Grafico_Status" sheetId="5" r:id="rId4"/>
    <sheet name="Grafico_Historico" sheetId="6" r:id="rId5"/>
    <sheet name="Grafico_Frequencia_Mensal" sheetId="7" r:id="rId6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<sst xmlns="http://schemas.openxmlformats.org/spreadsheetml/2006/main" count="301" uniqueCount="130">
  <si>
    <t>Nome</t>
  </si>
  <si>
    <t>CPF</t>
  </si>
  <si>
    <t>Sexo</t>
  </si>
  <si>
    <t>Status</t>
  </si>
  <si>
    <t>Histórico Clínico</t>
  </si>
  <si>
    <t>Data de Abertura</t>
  </si>
  <si>
    <t>Frequência Mensal</t>
  </si>
  <si>
    <t>Otto Cardoso</t>
  </si>
  <si>
    <t>096.743.821-78</t>
  </si>
  <si>
    <t>Masculino</t>
  </si>
  <si>
    <t>Alta</t>
  </si>
  <si>
    <t>AVC</t>
  </si>
  <si>
    <t>Sophie Porto</t>
  </si>
  <si>
    <t>371.892.564-82</t>
  </si>
  <si>
    <t>Feminino</t>
  </si>
  <si>
    <t>Ativo</t>
  </si>
  <si>
    <t>Dra. Antonella Marques</t>
  </si>
  <si>
    <t>297.358.401-97</t>
  </si>
  <si>
    <t>Inativo</t>
  </si>
  <si>
    <t>Dor lombar crônica</t>
  </si>
  <si>
    <t>Camila Freitas</t>
  </si>
  <si>
    <t>961.238.075-95</t>
  </si>
  <si>
    <t>Manuela da Cruz</t>
  </si>
  <si>
    <t>079.583.261-30</t>
  </si>
  <si>
    <t>Problemas respiratórios</t>
  </si>
  <si>
    <t>Kevin Nascimento</t>
  </si>
  <si>
    <t>396.425.817-28</t>
  </si>
  <si>
    <t>Pós-operatório de joelho</t>
  </si>
  <si>
    <t>Joana Monteiro</t>
  </si>
  <si>
    <t>124.876.309-22</t>
  </si>
  <si>
    <t>Maria Helena Guerra</t>
  </si>
  <si>
    <t>491.826.057-85</t>
  </si>
  <si>
    <t>Mathias Albuquerque</t>
  </si>
  <si>
    <t>852.903.147-41</t>
  </si>
  <si>
    <t>Lesão esportiva</t>
  </si>
  <si>
    <t>João Gabriel Machado</t>
  </si>
  <si>
    <t>473.896.510-75</t>
  </si>
  <si>
    <t>Sr. Enzo Cirino</t>
  </si>
  <si>
    <t>673.198.402-78</t>
  </si>
  <si>
    <t>Ana Júlia Costela</t>
  </si>
  <si>
    <t>954.031.287-60</t>
  </si>
  <si>
    <t>Ana Julia Fogaça</t>
  </si>
  <si>
    <t>954.317.026-61</t>
  </si>
  <si>
    <t>João Gabriel Gonçalves</t>
  </si>
  <si>
    <t>376.804.591-93</t>
  </si>
  <si>
    <t>Maria Luísa Mendonça</t>
  </si>
  <si>
    <t>564.079.832-74</t>
  </si>
  <si>
    <t>Dra. Allana Lima</t>
  </si>
  <si>
    <t>312.589.604-51</t>
  </si>
  <si>
    <t>Maria Eduarda Vieira</t>
  </si>
  <si>
    <t>120.984.365-05</t>
  </si>
  <si>
    <t>João Gabriel Moreira</t>
  </si>
  <si>
    <t>709.241.386-96</t>
  </si>
  <si>
    <t>Murilo Vargas</t>
  </si>
  <si>
    <t>957.613.842-64</t>
  </si>
  <si>
    <t>Luísa Cavalcante</t>
  </si>
  <si>
    <t>051.398.762-21</t>
  </si>
  <si>
    <t>Melissa Abreu</t>
  </si>
  <si>
    <t>814.325.067-90</t>
  </si>
  <si>
    <t>Dr. Theo Sousa</t>
  </si>
  <si>
    <t>546.923.780-00</t>
  </si>
  <si>
    <t>Clara Moreira</t>
  </si>
  <si>
    <t>234.786.590-00</t>
  </si>
  <si>
    <t>Erick Câmara</t>
  </si>
  <si>
    <t>341.267.905-43</t>
  </si>
  <si>
    <t>Guilherme Moreira</t>
  </si>
  <si>
    <t>850.792.134-50</t>
  </si>
  <si>
    <t>Luiz Miguel Borges</t>
  </si>
  <si>
    <t>362.509.817-21</t>
  </si>
  <si>
    <t>Asafe Abreu</t>
  </si>
  <si>
    <t>610.537.842-44</t>
  </si>
  <si>
    <t>Manuella Nogueira</t>
  </si>
  <si>
    <t>914.385.670-57</t>
  </si>
  <si>
    <t>Sr. Pedro Miguel Martins</t>
  </si>
  <si>
    <t>897.460.523-65</t>
  </si>
  <si>
    <t>Bruno Marques</t>
  </si>
  <si>
    <t>608.714.925-20</t>
  </si>
  <si>
    <t>Apollo Vasconcelos</t>
  </si>
  <si>
    <t>346.895.210-42</t>
  </si>
  <si>
    <t>Rebeca Oliveira</t>
  </si>
  <si>
    <t>375.602.948-47</t>
  </si>
  <si>
    <t>Gustavo Henrique da Mota</t>
  </si>
  <si>
    <t>462.093.157-80</t>
  </si>
  <si>
    <t>Lorenzo das Neves</t>
  </si>
  <si>
    <t>180.743.956-93</t>
  </si>
  <si>
    <t>Dr. Gabriel Lima</t>
  </si>
  <si>
    <t>634.502.189-05</t>
  </si>
  <si>
    <t>Liam Lima</t>
  </si>
  <si>
    <t>745.013.289-32</t>
  </si>
  <si>
    <t>Noah Viana</t>
  </si>
  <si>
    <t>603.174.298-50</t>
  </si>
  <si>
    <t>Theodoro Cardoso</t>
  </si>
  <si>
    <t>729.086.531-68</t>
  </si>
  <si>
    <t>Luara Nogueira</t>
  </si>
  <si>
    <t>168.243.590-33</t>
  </si>
  <si>
    <t>Maria Vasconcelos</t>
  </si>
  <si>
    <t>410.785.326-80</t>
  </si>
  <si>
    <t>Matheus Cardoso</t>
  </si>
  <si>
    <t>159.648.372-55</t>
  </si>
  <si>
    <t>Ravy Souza</t>
  </si>
  <si>
    <t>281.349.607-31</t>
  </si>
  <si>
    <t>Pietra Teixeira</t>
  </si>
  <si>
    <t>923.758.046-00</t>
  </si>
  <si>
    <t>Lunna Santos</t>
  </si>
  <si>
    <t>351.240.798-60</t>
  </si>
  <si>
    <t>Enrico Alves</t>
  </si>
  <si>
    <t>821.345.760-90</t>
  </si>
  <si>
    <t>Brayan Oliveira</t>
  </si>
  <si>
    <t>352.091.784-04</t>
  </si>
  <si>
    <t>Dr. Daniel Pimenta</t>
  </si>
  <si>
    <t>635.172.980-77</t>
  </si>
  <si>
    <t>Joana Martins</t>
  </si>
  <si>
    <t>765.931.802-03</t>
  </si>
  <si>
    <t>Thales Camargo</t>
  </si>
  <si>
    <t>406.915.287-30</t>
  </si>
  <si>
    <t>Emanuelly Pereira</t>
  </si>
  <si>
    <t>370.421.568-62</t>
  </si>
  <si>
    <t>Variável</t>
  </si>
  <si>
    <t>Tipo</t>
  </si>
  <si>
    <t>Subtipo</t>
  </si>
  <si>
    <t>Qualitativa</t>
  </si>
  <si>
    <t>Nominal</t>
  </si>
  <si>
    <t>Quantitativa</t>
  </si>
  <si>
    <t>Temporal</t>
  </si>
  <si>
    <t>Discreta</t>
  </si>
  <si>
    <t>Média</t>
  </si>
  <si>
    <t>Percentil 95</t>
  </si>
  <si>
    <t>Frequência</t>
  </si>
  <si>
    <t>Status do Paciente</t>
  </si>
  <si>
    <t>Quantidade de Pacientes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</si>
</sst>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4" fontId="1" fillId="0" borderId="1" xfId="0" applyNumberFormat="1" applyFont="1" applyBorder="1" applyAlignment="1">
      <alignment horizontal="center" vertical="top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/>
    <xf numFmtId="0" fontId="0" fillId="0" borderId="5" xfId="0" applyBorder="1"/>
    <xf numFmtId="0" fontId="0" fillId="0" borderId="4" xfId="0" applyBorder="1"/>
    <xf numFmtId="0" fontId="2" fillId="0" borderId="4" xfId="0" applyFont="1" applyBorder="1"/>
    <xf numFmtId="0" fontId="2" fillId="0" borderId="5" xfId="0" applyFont="1" applyBorder="1"/>
    <xf numFmtId="0" fontId="3" fillId="0" borderId="0" xfId="0" applyFont="1"/>
    <xf numFmtId="0" fontId="1" fillId="0" borderId="4" xfId="0" applyFont="1" applyBorder="1" applyAlignment="1">
      <alignment horizontal="center" vertical="top"/>
    </xf>
    <xf numFmtId="0" fontId="1" fillId="0" borderId="5" xfId="0" applyFont="1" applyBorder="1" applyAlignment="1">
      <alignment horizontal="center" vertical="top"/>
    </xf>
    <xf numFmtId="0" fontId="0" fillId="0" borderId="2" xfId="0" applyBorder="1"/>
    <xf numFmtId="0" fontId="1" fillId="0" borderId="8" xfId="0" applyFont="1" applyBorder="1" applyAlignment="1">
      <alignment horizontal="center" vertical="top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37"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 diagonalUp="0" diagonalDown="0" outline="0"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Distribuição dos Pacientes por Sexo</a:t>
            </a:r>
          </a:p>
        </c:rich>
      </c:tx>
      <c:layout>
        <c:manualLayout>
          <c:xMode val="edge"/>
          <c:yMode val="edge"/>
          <c:x val="0.28893888888888886"/>
          <c:y val="5.6444444444444443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5.174074074074074E-2"/>
          <c:y val="5.174074074074074E-2"/>
          <c:w val="0.79576592592592588"/>
          <c:h val="0.8965185185185184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Grafico_Sexo!$B$1</c:f>
              <c:strCache>
                <c:ptCount val="1"/>
                <c:pt idx="0">
                  <c:v>Frequência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Grafico_Sexo!$A$2:$A$3</c:f>
              <c:strCache>
                <c:ptCount val="2"/>
                <c:pt idx="0">
                  <c:v>Masculino</c:v>
                </c:pt>
                <c:pt idx="1">
                  <c:v>Feminino</c:v>
                </c:pt>
              </c:strCache>
            </c:strRef>
          </c:cat>
          <c:val>
            <c:numRef>
              <c:f>Grafico_Sexo!$B$2:$B$3</c:f>
              <c:numCache>
                <c:formatCode>General</c:formatCode>
                <c:ptCount val="2"/>
                <c:pt idx="0">
                  <c:v>23</c:v>
                </c:pt>
                <c:pt idx="1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2E-4BB9-B392-A121D933DE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Quantidade de Pacientes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Distribuição dos Pacientes por Status</a:t>
            </a:r>
          </a:p>
        </c:rich>
      </c:tx>
      <c:layout>
        <c:manualLayout>
          <c:xMode val="edge"/>
          <c:yMode val="edge"/>
          <c:x val="0.26046388888888888"/>
          <c:y val="6.5851851851851856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3500000000000001E-2"/>
          <c:y val="5.174074074074074E-2"/>
          <c:w val="0.82835092592592596"/>
          <c:h val="0.8965185185185184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Grafico_Status!$B$1</c:f>
              <c:strCache>
                <c:ptCount val="1"/>
                <c:pt idx="0">
                  <c:v>Frequência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Grafico_Status!$A$2:$A$4</c:f>
              <c:strCache>
                <c:ptCount val="3"/>
                <c:pt idx="0">
                  <c:v>Alta</c:v>
                </c:pt>
                <c:pt idx="1">
                  <c:v>Ativo</c:v>
                </c:pt>
                <c:pt idx="2">
                  <c:v>Inativo</c:v>
                </c:pt>
              </c:strCache>
            </c:strRef>
          </c:cat>
          <c:val>
            <c:numRef>
              <c:f>Grafico_Status!$B$2:$B$4</c:f>
              <c:numCache>
                <c:formatCode>General</c:formatCode>
                <c:ptCount val="3"/>
                <c:pt idx="0">
                  <c:v>16</c:v>
                </c:pt>
                <c:pt idx="1">
                  <c:v>25</c:v>
                </c:pt>
                <c:pt idx="2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5D-47B8-B3EA-016CF6B07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Quantidade de Pacientes</a:t>
                </a:r>
              </a:p>
            </c:rich>
          </c:tx>
          <c:layout>
            <c:manualLayout>
              <c:xMode val="edge"/>
              <c:yMode val="edge"/>
              <c:x val="2.3036296296296294E-2"/>
              <c:y val="0.24164888888888889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8949907407407403"/>
          <c:y val="0.37711851851851852"/>
          <c:w val="0.10579722222222222"/>
          <c:h val="0.25517000000000001"/>
        </c:manualLayout>
      </c:layout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Distribuição dos Pacientes por Histórico Clínico</a:t>
            </a:r>
          </a:p>
        </c:rich>
      </c:tx>
      <c:layout>
        <c:manualLayout>
          <c:xMode val="edge"/>
          <c:yMode val="edge"/>
          <c:x val="0.26861888888888891"/>
          <c:y val="6.5851851851851856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6.5851851851851856E-2"/>
          <c:y val="5.6444444444444443E-2"/>
          <c:w val="0.65645277777777777"/>
          <c:h val="0.8965185185185184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Grafico_Historico!$B$1</c:f>
              <c:strCache>
                <c:ptCount val="1"/>
                <c:pt idx="0">
                  <c:v>Frequência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Grafico_Historico!$A$2:$A$6</c:f>
              <c:strCache>
                <c:ptCount val="5"/>
                <c:pt idx="0">
                  <c:v>AVC</c:v>
                </c:pt>
                <c:pt idx="1">
                  <c:v>Dor lombar crônica</c:v>
                </c:pt>
                <c:pt idx="2">
                  <c:v>Problemas respiratórios</c:v>
                </c:pt>
                <c:pt idx="3">
                  <c:v>Pós-operatório de joelho</c:v>
                </c:pt>
                <c:pt idx="4">
                  <c:v>Lesão esportiva</c:v>
                </c:pt>
              </c:strCache>
            </c:strRef>
          </c:cat>
          <c:val>
            <c:numRef>
              <c:f>Grafico_Historico!$B$2:$B$6</c:f>
              <c:numCache>
                <c:formatCode>General</c:formatCode>
                <c:ptCount val="5"/>
                <c:pt idx="0">
                  <c:v>13</c:v>
                </c:pt>
                <c:pt idx="1">
                  <c:v>9</c:v>
                </c:pt>
                <c:pt idx="2">
                  <c:v>12</c:v>
                </c:pt>
                <c:pt idx="3">
                  <c:v>8</c:v>
                </c:pt>
                <c:pt idx="4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88-4503-90F7-5AA39155C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Quantidade de Pacientes</a:t>
                </a:r>
              </a:p>
            </c:rich>
          </c:tx>
          <c:layout>
            <c:manualLayout>
              <c:xMode val="edge"/>
              <c:yMode val="edge"/>
              <c:x val="2.3036296296296294E-2"/>
              <c:y val="0.22283407407407407"/>
            </c:manualLayout>
          </c:layout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1760092592592606"/>
          <c:y val="0.28735814814814814"/>
          <c:w val="0.2776953703703704"/>
          <c:h val="0.42528333333333335"/>
        </c:manualLayout>
      </c:layout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pt-BR"/>
              <a:t>Distribuição da Frequência Mensal de Atendimentos</a:t>
            </a:r>
          </a:p>
        </c:rich>
      </c:tx>
      <c:layout>
        <c:manualLayout>
          <c:xMode val="edge"/>
          <c:yMode val="edge"/>
          <c:x val="0.22786722222222222"/>
          <c:y val="4.2333333333333334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4.9388888888888892E-2"/>
          <c:y val="5.174074074074074E-2"/>
          <c:w val="0.88227925925925921"/>
          <c:h val="0.89651851851851849"/>
        </c:manualLayout>
      </c:layout>
      <c:barChart>
        <c:barDir val="col"/>
        <c:grouping val="clustered"/>
        <c:varyColors val="1"/>
        <c:ser>
          <c:idx val="0"/>
          <c:order val="0"/>
          <c:tx>
            <c:strRef>
              <c:f>Grafico_Frequencia_Mensal!$B$1</c:f>
              <c:strCache>
                <c:ptCount val="1"/>
                <c:pt idx="0">
                  <c:v>Quantidade de Pacientes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numRef>
              <c:f>Grafico_Frequencia_Mensal!$A$2:$A$6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Grafico_Frequencia_Mensal!$B$2:$B$6</c:f>
              <c:numCache>
                <c:formatCode>General</c:formatCode>
                <c:ptCount val="5"/>
                <c:pt idx="0">
                  <c:v>13</c:v>
                </c:pt>
                <c:pt idx="1">
                  <c:v>9</c:v>
                </c:pt>
                <c:pt idx="2">
                  <c:v>12</c:v>
                </c:pt>
                <c:pt idx="3">
                  <c:v>13</c:v>
                </c:pt>
                <c:pt idx="4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D5-4853-BCA6-CB08CB46DC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Número de Sessões no Mês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Quantidade de Pacientes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28575</xdr:colOff>
      <xdr:row>1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152400</xdr:colOff>
      <xdr:row>1</xdr:row>
      <xdr:rowOff>19050</xdr:rowOff>
    </xdr:from>
    <xdr:ext cx="5400000" cy="2819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5934009-3A73-4B58-83A6-EA94FC1D11B0}" name="Tabela6" displayName="Tabela6" ref="A1:C8" totalsRowShown="0" headerRowDxfId="3" headerRowBorderDxfId="5" tableBorderDxfId="6" totalsRowBorderDxfId="4">
  <autoFilter ref="A1:C8" xr:uid="{45934009-3A73-4B58-83A6-EA94FC1D11B0}"/>
  <tableColumns count="3">
    <tableColumn id="1" xr3:uid="{941C7AF7-92C1-45C8-9A73-3B4C758DED7E}" name="Variável" dataDxfId="2"/>
    <tableColumn id="2" xr3:uid="{844B6EF8-0823-4C35-8074-89EDA0EDD184}" name="Tipo" dataDxfId="1"/>
    <tableColumn id="3" xr3:uid="{A7001443-1F22-4CBF-9C87-E6967BCEA425}" name="Subtipo" dataDxfId="0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ADE99DE-FD83-4759-9453-AAB164540151}" name="Tabela5" displayName="Tabela5" ref="A1:B3" totalsRowShown="0" headerRowDxfId="9" headerRowBorderDxfId="11" tableBorderDxfId="12" totalsRowBorderDxfId="10">
  <autoFilter ref="A1:B3" xr:uid="{7ADE99DE-FD83-4759-9453-AAB164540151}"/>
  <tableColumns count="2">
    <tableColumn id="1" xr3:uid="{E89BE6FB-99A2-4062-8A48-0DEB960E1F41}" name="Sexo" dataDxfId="8"/>
    <tableColumn id="2" xr3:uid="{2A3A837D-3F57-4C15-8471-140067D0B1DD}" name="Frequência" dataDxfId="7"/>
  </tableColumns>
  <tableStyleInfo name="TableStyleLight1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C57BFD2-8A0B-409B-9173-3966CCA0E15B}" name="Tabela4" displayName="Tabela4" ref="A1:B4" totalsRowShown="0" headerRowDxfId="13" headerRowBorderDxfId="17" tableBorderDxfId="18" totalsRowBorderDxfId="16">
  <autoFilter ref="A1:B4" xr:uid="{7C57BFD2-8A0B-409B-9173-3966CCA0E15B}"/>
  <tableColumns count="2">
    <tableColumn id="1" xr3:uid="{1047F8EF-F6E5-44C7-AE77-6AC541778A07}" name="Status do Paciente" dataDxfId="15"/>
    <tableColumn id="2" xr3:uid="{F25952D1-E3D1-42C8-8CFB-55218B2E0F89}" name="Frequência" dataDxfId="14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59F0C3-2B94-42AF-9E8E-4C576A970F3D}" name="Tabela3" displayName="Tabela3" ref="A1:B6" totalsRowShown="0" headerRowDxfId="19" headerRowBorderDxfId="23" tableBorderDxfId="24" totalsRowBorderDxfId="22">
  <autoFilter ref="A1:B6" xr:uid="{7759F0C3-2B94-42AF-9E8E-4C576A970F3D}"/>
  <tableColumns count="2">
    <tableColumn id="1" xr3:uid="{1FBB496E-D8DB-4E77-9C8A-BC28F1EECDE8}" name="Histórico Clínico" dataDxfId="21"/>
    <tableColumn id="2" xr3:uid="{6FDF4F80-A3AD-4538-BC52-60E6ACC25B58}" name="Frequência" dataDxfId="20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758F12-E561-4AAC-8A01-493C60687DAD}" name="Tabela1" displayName="Tabela1" ref="A1:B6" totalsRowShown="0" headerRowDxfId="31" headerRowBorderDxfId="35" tableBorderDxfId="36" totalsRowBorderDxfId="34">
  <autoFilter ref="A1:B6" xr:uid="{77758F12-E561-4AAC-8A01-493C60687DAD}"/>
  <tableColumns count="2">
    <tableColumn id="1" xr3:uid="{D863BD31-7A1A-46C2-A676-384F78C7D2A6}" name="Frequência Mensal" dataDxfId="33"/>
    <tableColumn id="2" xr3:uid="{7B84D8D3-407E-464C-A8F9-F8A54EA134F1}" name="Quantidade de Pacientes" dataDxfId="32"/>
  </tableColumns>
  <tableStyleInfo name="TableStyleLight1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07D41F-B5CA-492F-9D13-CFA75512F23F}" name="Tabela2" displayName="Tabela2" ref="A8:B9" totalsRowShown="0" headerRowDxfId="25" headerRowBorderDxfId="29" tableBorderDxfId="30" totalsRowBorderDxfId="28">
  <autoFilter ref="A8:B9" xr:uid="{D007D41F-B5CA-492F-9D13-CFA75512F23F}"/>
  <tableColumns count="2">
    <tableColumn id="1" xr3:uid="{6D653E1A-E9D8-4B67-ABF3-5CA4C5AFBE92}" name="Média" dataDxfId="27"/>
    <tableColumn id="2" xr3:uid="{A1FF7566-C7AF-44F6-BD77-A597A5901157}" name="Percentil 95" dataDxfId="26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J8" sqref="J8"/>
    </sheetView>
  </sheetViews>
  <sheetFormatPr defaultRowHeight="15" x14ac:dyDescent="0.25"/>
  <cols>
    <col min="1" max="1" width="24.85546875" bestFit="1" customWidth="1"/>
    <col min="2" max="2" width="14" bestFit="1" customWidth="1"/>
    <col min="3" max="3" width="10" bestFit="1" customWidth="1"/>
    <col min="4" max="4" width="7.140625" bestFit="1" customWidth="1"/>
    <col min="5" max="5" width="23.5703125" bestFit="1" customWidth="1"/>
    <col min="6" max="6" width="16.140625" style="3" bestFit="1" customWidth="1"/>
    <col min="7" max="7" width="18.140625" style="2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4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s="3">
        <v>45791</v>
      </c>
      <c r="G2" s="2">
        <v>1</v>
      </c>
    </row>
    <row r="3" spans="1:7" x14ac:dyDescent="0.25">
      <c r="A3" t="s">
        <v>12</v>
      </c>
      <c r="B3" t="s">
        <v>13</v>
      </c>
      <c r="C3" t="s">
        <v>14</v>
      </c>
      <c r="D3" t="s">
        <v>15</v>
      </c>
      <c r="E3" t="s">
        <v>11</v>
      </c>
      <c r="F3" s="3">
        <v>45941</v>
      </c>
      <c r="G3" s="2">
        <v>1</v>
      </c>
    </row>
    <row r="4" spans="1:7" x14ac:dyDescent="0.25">
      <c r="A4" t="s">
        <v>16</v>
      </c>
      <c r="B4" t="s">
        <v>17</v>
      </c>
      <c r="C4" t="s">
        <v>9</v>
      </c>
      <c r="D4" t="s">
        <v>18</v>
      </c>
      <c r="E4" t="s">
        <v>19</v>
      </c>
      <c r="F4" s="3">
        <v>45685</v>
      </c>
      <c r="G4" s="2">
        <v>3</v>
      </c>
    </row>
    <row r="5" spans="1:7" x14ac:dyDescent="0.25">
      <c r="A5" t="s">
        <v>20</v>
      </c>
      <c r="B5" t="s">
        <v>21</v>
      </c>
      <c r="C5" t="s">
        <v>9</v>
      </c>
      <c r="D5" t="s">
        <v>18</v>
      </c>
      <c r="E5" t="s">
        <v>11</v>
      </c>
      <c r="F5" s="3">
        <v>45765</v>
      </c>
      <c r="G5" s="2">
        <v>2</v>
      </c>
    </row>
    <row r="6" spans="1:7" x14ac:dyDescent="0.25">
      <c r="A6" t="s">
        <v>22</v>
      </c>
      <c r="B6" t="s">
        <v>23</v>
      </c>
      <c r="C6" t="s">
        <v>9</v>
      </c>
      <c r="D6" t="s">
        <v>15</v>
      </c>
      <c r="E6" t="s">
        <v>24</v>
      </c>
      <c r="F6" s="3">
        <v>45701</v>
      </c>
      <c r="G6" s="2">
        <v>5</v>
      </c>
    </row>
    <row r="7" spans="1:7" x14ac:dyDescent="0.25">
      <c r="A7" t="s">
        <v>25</v>
      </c>
      <c r="B7" t="s">
        <v>26</v>
      </c>
      <c r="C7" t="s">
        <v>14</v>
      </c>
      <c r="D7" t="s">
        <v>18</v>
      </c>
      <c r="E7" t="s">
        <v>27</v>
      </c>
      <c r="F7" s="3">
        <v>45997</v>
      </c>
      <c r="G7" s="2">
        <v>4</v>
      </c>
    </row>
    <row r="8" spans="1:7" x14ac:dyDescent="0.25">
      <c r="A8" t="s">
        <v>28</v>
      </c>
      <c r="B8" t="s">
        <v>29</v>
      </c>
      <c r="C8" t="s">
        <v>9</v>
      </c>
      <c r="D8" t="s">
        <v>15</v>
      </c>
      <c r="E8" t="s">
        <v>27</v>
      </c>
      <c r="F8" s="3">
        <v>45943</v>
      </c>
      <c r="G8" s="2">
        <v>2</v>
      </c>
    </row>
    <row r="9" spans="1:7" x14ac:dyDescent="0.25">
      <c r="A9" t="s">
        <v>30</v>
      </c>
      <c r="B9" t="s">
        <v>31</v>
      </c>
      <c r="C9" t="s">
        <v>9</v>
      </c>
      <c r="D9" t="s">
        <v>15</v>
      </c>
      <c r="E9" t="s">
        <v>19</v>
      </c>
      <c r="F9" s="3">
        <v>45988</v>
      </c>
      <c r="G9" s="2">
        <v>4</v>
      </c>
    </row>
    <row r="10" spans="1:7" x14ac:dyDescent="0.25">
      <c r="A10" t="s">
        <v>32</v>
      </c>
      <c r="B10" t="s">
        <v>33</v>
      </c>
      <c r="C10" t="s">
        <v>9</v>
      </c>
      <c r="D10" t="s">
        <v>10</v>
      </c>
      <c r="E10" t="s">
        <v>34</v>
      </c>
      <c r="F10" s="3">
        <v>45785</v>
      </c>
      <c r="G10" s="2">
        <v>3</v>
      </c>
    </row>
    <row r="11" spans="1:7" x14ac:dyDescent="0.25">
      <c r="A11" t="s">
        <v>35</v>
      </c>
      <c r="B11" t="s">
        <v>36</v>
      </c>
      <c r="C11" t="s">
        <v>14</v>
      </c>
      <c r="D11" t="s">
        <v>10</v>
      </c>
      <c r="E11" t="s">
        <v>19</v>
      </c>
      <c r="F11" s="3">
        <v>46005</v>
      </c>
      <c r="G11" s="2">
        <v>3</v>
      </c>
    </row>
    <row r="12" spans="1:7" x14ac:dyDescent="0.25">
      <c r="A12" t="s">
        <v>37</v>
      </c>
      <c r="B12" t="s">
        <v>38</v>
      </c>
      <c r="C12" t="s">
        <v>9</v>
      </c>
      <c r="D12" t="s">
        <v>10</v>
      </c>
      <c r="E12" t="s">
        <v>34</v>
      </c>
      <c r="F12" s="3">
        <v>45888</v>
      </c>
      <c r="G12" s="2">
        <v>1</v>
      </c>
    </row>
    <row r="13" spans="1:7" x14ac:dyDescent="0.25">
      <c r="A13" t="s">
        <v>39</v>
      </c>
      <c r="B13" t="s">
        <v>40</v>
      </c>
      <c r="C13" t="s">
        <v>9</v>
      </c>
      <c r="D13" t="s">
        <v>15</v>
      </c>
      <c r="E13" t="s">
        <v>27</v>
      </c>
      <c r="F13" s="3">
        <v>45847</v>
      </c>
      <c r="G13" s="2">
        <v>5</v>
      </c>
    </row>
    <row r="14" spans="1:7" x14ac:dyDescent="0.25">
      <c r="A14" t="s">
        <v>41</v>
      </c>
      <c r="B14" t="s">
        <v>42</v>
      </c>
      <c r="C14" t="s">
        <v>9</v>
      </c>
      <c r="D14" t="s">
        <v>15</v>
      </c>
      <c r="E14" t="s">
        <v>19</v>
      </c>
      <c r="F14" s="3">
        <v>45882</v>
      </c>
      <c r="G14" s="2">
        <v>4</v>
      </c>
    </row>
    <row r="15" spans="1:7" x14ac:dyDescent="0.25">
      <c r="A15" t="s">
        <v>43</v>
      </c>
      <c r="B15" t="s">
        <v>44</v>
      </c>
      <c r="C15" t="s">
        <v>9</v>
      </c>
      <c r="D15" t="s">
        <v>18</v>
      </c>
      <c r="E15" t="s">
        <v>24</v>
      </c>
      <c r="F15" s="3">
        <v>45940</v>
      </c>
      <c r="G15" s="2">
        <v>2</v>
      </c>
    </row>
    <row r="16" spans="1:7" x14ac:dyDescent="0.25">
      <c r="A16" t="s">
        <v>45</v>
      </c>
      <c r="B16" t="s">
        <v>46</v>
      </c>
      <c r="C16" t="s">
        <v>14</v>
      </c>
      <c r="D16" t="s">
        <v>15</v>
      </c>
      <c r="E16" t="s">
        <v>11</v>
      </c>
      <c r="F16" s="3">
        <v>45778</v>
      </c>
      <c r="G16" s="2">
        <v>3</v>
      </c>
    </row>
    <row r="17" spans="1:7" x14ac:dyDescent="0.25">
      <c r="A17" t="s">
        <v>47</v>
      </c>
      <c r="B17" t="s">
        <v>48</v>
      </c>
      <c r="C17" t="s">
        <v>9</v>
      </c>
      <c r="D17" t="s">
        <v>15</v>
      </c>
      <c r="E17" t="s">
        <v>34</v>
      </c>
      <c r="F17" s="3">
        <v>45773</v>
      </c>
      <c r="G17" s="2">
        <v>1</v>
      </c>
    </row>
    <row r="18" spans="1:7" x14ac:dyDescent="0.25">
      <c r="A18" t="s">
        <v>49</v>
      </c>
      <c r="B18" t="s">
        <v>50</v>
      </c>
      <c r="C18" t="s">
        <v>14</v>
      </c>
      <c r="D18" t="s">
        <v>15</v>
      </c>
      <c r="E18" t="s">
        <v>11</v>
      </c>
      <c r="F18" s="3">
        <v>45890</v>
      </c>
      <c r="G18" s="2">
        <v>1</v>
      </c>
    </row>
    <row r="19" spans="1:7" x14ac:dyDescent="0.25">
      <c r="A19" t="s">
        <v>51</v>
      </c>
      <c r="B19" t="s">
        <v>52</v>
      </c>
      <c r="C19" t="s">
        <v>14</v>
      </c>
      <c r="D19" t="s">
        <v>15</v>
      </c>
      <c r="E19" t="s">
        <v>11</v>
      </c>
      <c r="F19" s="3">
        <v>45916</v>
      </c>
      <c r="G19" s="2">
        <v>4</v>
      </c>
    </row>
    <row r="20" spans="1:7" x14ac:dyDescent="0.25">
      <c r="A20" t="s">
        <v>53</v>
      </c>
      <c r="B20" t="s">
        <v>54</v>
      </c>
      <c r="C20" t="s">
        <v>14</v>
      </c>
      <c r="D20" t="s">
        <v>10</v>
      </c>
      <c r="E20" t="s">
        <v>19</v>
      </c>
      <c r="F20" s="3">
        <v>46016</v>
      </c>
      <c r="G20" s="2">
        <v>3</v>
      </c>
    </row>
    <row r="21" spans="1:7" x14ac:dyDescent="0.25">
      <c r="A21" t="s">
        <v>55</v>
      </c>
      <c r="B21" t="s">
        <v>56</v>
      </c>
      <c r="C21" t="s">
        <v>9</v>
      </c>
      <c r="D21" t="s">
        <v>15</v>
      </c>
      <c r="E21" t="s">
        <v>11</v>
      </c>
      <c r="F21" s="3">
        <v>45855</v>
      </c>
      <c r="G21" s="2">
        <v>5</v>
      </c>
    </row>
    <row r="22" spans="1:7" x14ac:dyDescent="0.25">
      <c r="A22" t="s">
        <v>57</v>
      </c>
      <c r="B22" t="s">
        <v>58</v>
      </c>
      <c r="C22" t="s">
        <v>14</v>
      </c>
      <c r="D22" t="s">
        <v>18</v>
      </c>
      <c r="E22" t="s">
        <v>24</v>
      </c>
      <c r="F22" s="3">
        <v>45794</v>
      </c>
      <c r="G22" s="2">
        <v>3</v>
      </c>
    </row>
    <row r="23" spans="1:7" x14ac:dyDescent="0.25">
      <c r="A23" t="s">
        <v>59</v>
      </c>
      <c r="B23" t="s">
        <v>60</v>
      </c>
      <c r="C23" t="s">
        <v>9</v>
      </c>
      <c r="D23" t="s">
        <v>15</v>
      </c>
      <c r="E23" t="s">
        <v>11</v>
      </c>
      <c r="F23" s="3">
        <v>45975</v>
      </c>
      <c r="G23" s="2">
        <v>4</v>
      </c>
    </row>
    <row r="24" spans="1:7" x14ac:dyDescent="0.25">
      <c r="A24" t="s">
        <v>61</v>
      </c>
      <c r="B24" t="s">
        <v>62</v>
      </c>
      <c r="C24" t="s">
        <v>14</v>
      </c>
      <c r="D24" t="s">
        <v>18</v>
      </c>
      <c r="E24" t="s">
        <v>19</v>
      </c>
      <c r="F24" s="3">
        <v>45822</v>
      </c>
      <c r="G24" s="2">
        <v>4</v>
      </c>
    </row>
    <row r="25" spans="1:7" x14ac:dyDescent="0.25">
      <c r="A25" t="s">
        <v>63</v>
      </c>
      <c r="B25" t="s">
        <v>64</v>
      </c>
      <c r="C25" t="s">
        <v>14</v>
      </c>
      <c r="D25" t="s">
        <v>18</v>
      </c>
      <c r="E25" t="s">
        <v>24</v>
      </c>
      <c r="F25" s="3">
        <v>45882</v>
      </c>
      <c r="G25" s="2">
        <v>3</v>
      </c>
    </row>
    <row r="26" spans="1:7" x14ac:dyDescent="0.25">
      <c r="A26" t="s">
        <v>65</v>
      </c>
      <c r="B26" t="s">
        <v>66</v>
      </c>
      <c r="C26" t="s">
        <v>14</v>
      </c>
      <c r="D26" t="s">
        <v>15</v>
      </c>
      <c r="E26" t="s">
        <v>27</v>
      </c>
      <c r="F26" s="3">
        <v>45964</v>
      </c>
      <c r="G26" s="2">
        <v>4</v>
      </c>
    </row>
    <row r="27" spans="1:7" x14ac:dyDescent="0.25">
      <c r="A27" t="s">
        <v>67</v>
      </c>
      <c r="B27" t="s">
        <v>68</v>
      </c>
      <c r="C27" t="s">
        <v>14</v>
      </c>
      <c r="D27" t="s">
        <v>10</v>
      </c>
      <c r="E27" t="s">
        <v>11</v>
      </c>
      <c r="F27" s="3">
        <v>45891</v>
      </c>
      <c r="G27" s="2">
        <v>3</v>
      </c>
    </row>
    <row r="28" spans="1:7" x14ac:dyDescent="0.25">
      <c r="A28" t="s">
        <v>69</v>
      </c>
      <c r="B28" t="s">
        <v>70</v>
      </c>
      <c r="C28" t="s">
        <v>14</v>
      </c>
      <c r="D28" t="s">
        <v>10</v>
      </c>
      <c r="E28" t="s">
        <v>19</v>
      </c>
      <c r="F28" s="3">
        <v>45829</v>
      </c>
      <c r="G28" s="2">
        <v>2</v>
      </c>
    </row>
    <row r="29" spans="1:7" x14ac:dyDescent="0.25">
      <c r="A29" t="s">
        <v>71</v>
      </c>
      <c r="B29" t="s">
        <v>72</v>
      </c>
      <c r="C29" t="s">
        <v>14</v>
      </c>
      <c r="D29" t="s">
        <v>10</v>
      </c>
      <c r="E29" t="s">
        <v>27</v>
      </c>
      <c r="F29" s="3">
        <v>45809</v>
      </c>
      <c r="G29" s="2">
        <v>3</v>
      </c>
    </row>
    <row r="30" spans="1:7" x14ac:dyDescent="0.25">
      <c r="A30" t="s">
        <v>73</v>
      </c>
      <c r="B30" t="s">
        <v>74</v>
      </c>
      <c r="C30" t="s">
        <v>14</v>
      </c>
      <c r="D30" t="s">
        <v>10</v>
      </c>
      <c r="E30" t="s">
        <v>27</v>
      </c>
      <c r="F30" s="3">
        <v>45972</v>
      </c>
      <c r="G30" s="2">
        <v>3</v>
      </c>
    </row>
    <row r="31" spans="1:7" x14ac:dyDescent="0.25">
      <c r="A31" t="s">
        <v>75</v>
      </c>
      <c r="B31" t="s">
        <v>76</v>
      </c>
      <c r="C31" t="s">
        <v>14</v>
      </c>
      <c r="D31" t="s">
        <v>18</v>
      </c>
      <c r="E31" t="s">
        <v>34</v>
      </c>
      <c r="F31" s="3">
        <v>45817</v>
      </c>
      <c r="G31" s="2">
        <v>4</v>
      </c>
    </row>
    <row r="32" spans="1:7" x14ac:dyDescent="0.25">
      <c r="A32" t="s">
        <v>77</v>
      </c>
      <c r="B32" t="s">
        <v>78</v>
      </c>
      <c r="C32" t="s">
        <v>9</v>
      </c>
      <c r="D32" t="s">
        <v>10</v>
      </c>
      <c r="E32" t="s">
        <v>24</v>
      </c>
      <c r="F32" s="3">
        <v>45753</v>
      </c>
      <c r="G32" s="2">
        <v>4</v>
      </c>
    </row>
    <row r="33" spans="1:7" x14ac:dyDescent="0.25">
      <c r="A33" t="s">
        <v>79</v>
      </c>
      <c r="B33" t="s">
        <v>80</v>
      </c>
      <c r="C33" t="s">
        <v>9</v>
      </c>
      <c r="D33" t="s">
        <v>15</v>
      </c>
      <c r="E33" t="s">
        <v>11</v>
      </c>
      <c r="F33" s="3">
        <v>45890</v>
      </c>
      <c r="G33" s="2">
        <v>1</v>
      </c>
    </row>
    <row r="34" spans="1:7" x14ac:dyDescent="0.25">
      <c r="A34" t="s">
        <v>81</v>
      </c>
      <c r="B34" t="s">
        <v>82</v>
      </c>
      <c r="C34" t="s">
        <v>14</v>
      </c>
      <c r="D34" t="s">
        <v>15</v>
      </c>
      <c r="E34" t="s">
        <v>19</v>
      </c>
      <c r="F34" s="3">
        <v>45837</v>
      </c>
      <c r="G34" s="2">
        <v>1</v>
      </c>
    </row>
    <row r="35" spans="1:7" x14ac:dyDescent="0.25">
      <c r="A35" t="s">
        <v>83</v>
      </c>
      <c r="B35" t="s">
        <v>84</v>
      </c>
      <c r="C35" t="s">
        <v>14</v>
      </c>
      <c r="D35" t="s">
        <v>15</v>
      </c>
      <c r="E35" t="s">
        <v>34</v>
      </c>
      <c r="F35" s="3">
        <v>45770</v>
      </c>
      <c r="G35" s="2">
        <v>2</v>
      </c>
    </row>
    <row r="36" spans="1:7" x14ac:dyDescent="0.25">
      <c r="A36" t="s">
        <v>85</v>
      </c>
      <c r="B36" t="s">
        <v>86</v>
      </c>
      <c r="C36" t="s">
        <v>14</v>
      </c>
      <c r="D36" t="s">
        <v>15</v>
      </c>
      <c r="E36" t="s">
        <v>24</v>
      </c>
      <c r="F36" s="3">
        <v>45975</v>
      </c>
      <c r="G36" s="2">
        <v>1</v>
      </c>
    </row>
    <row r="37" spans="1:7" x14ac:dyDescent="0.25">
      <c r="A37" t="s">
        <v>87</v>
      </c>
      <c r="B37" t="s">
        <v>88</v>
      </c>
      <c r="C37" t="s">
        <v>9</v>
      </c>
      <c r="D37" t="s">
        <v>15</v>
      </c>
      <c r="E37" t="s">
        <v>34</v>
      </c>
      <c r="F37" s="3">
        <v>45709</v>
      </c>
      <c r="G37" s="2">
        <v>3</v>
      </c>
    </row>
    <row r="38" spans="1:7" x14ac:dyDescent="0.25">
      <c r="A38" t="s">
        <v>89</v>
      </c>
      <c r="B38" t="s">
        <v>90</v>
      </c>
      <c r="C38" t="s">
        <v>14</v>
      </c>
      <c r="D38" t="s">
        <v>15</v>
      </c>
      <c r="E38" t="s">
        <v>24</v>
      </c>
      <c r="F38" s="3">
        <v>45925</v>
      </c>
      <c r="G38" s="2">
        <v>4</v>
      </c>
    </row>
    <row r="39" spans="1:7" x14ac:dyDescent="0.25">
      <c r="A39" t="s">
        <v>91</v>
      </c>
      <c r="B39" t="s">
        <v>92</v>
      </c>
      <c r="C39" t="s">
        <v>9</v>
      </c>
      <c r="D39" t="s">
        <v>10</v>
      </c>
      <c r="E39" t="s">
        <v>24</v>
      </c>
      <c r="F39" s="3">
        <v>45952</v>
      </c>
      <c r="G39" s="2">
        <v>1</v>
      </c>
    </row>
    <row r="40" spans="1:7" x14ac:dyDescent="0.25">
      <c r="A40" t="s">
        <v>93</v>
      </c>
      <c r="B40" t="s">
        <v>94</v>
      </c>
      <c r="C40" t="s">
        <v>9</v>
      </c>
      <c r="D40" t="s">
        <v>15</v>
      </c>
      <c r="E40" t="s">
        <v>11</v>
      </c>
      <c r="F40" s="3">
        <v>45770</v>
      </c>
      <c r="G40" s="2">
        <v>1</v>
      </c>
    </row>
    <row r="41" spans="1:7" x14ac:dyDescent="0.25">
      <c r="A41" t="s">
        <v>95</v>
      </c>
      <c r="B41" t="s">
        <v>96</v>
      </c>
      <c r="C41" t="s">
        <v>9</v>
      </c>
      <c r="D41" t="s">
        <v>15</v>
      </c>
      <c r="E41" t="s">
        <v>24</v>
      </c>
      <c r="F41" s="3">
        <v>45758</v>
      </c>
      <c r="G41" s="2">
        <v>2</v>
      </c>
    </row>
    <row r="42" spans="1:7" x14ac:dyDescent="0.25">
      <c r="A42" t="s">
        <v>97</v>
      </c>
      <c r="B42" t="s">
        <v>98</v>
      </c>
      <c r="C42" t="s">
        <v>9</v>
      </c>
      <c r="D42" t="s">
        <v>18</v>
      </c>
      <c r="E42" t="s">
        <v>34</v>
      </c>
      <c r="F42" s="3">
        <v>45770</v>
      </c>
      <c r="G42" s="2">
        <v>2</v>
      </c>
    </row>
    <row r="43" spans="1:7" x14ac:dyDescent="0.25">
      <c r="A43" t="s">
        <v>99</v>
      </c>
      <c r="B43" t="s">
        <v>100</v>
      </c>
      <c r="C43" t="s">
        <v>9</v>
      </c>
      <c r="D43" t="s">
        <v>15</v>
      </c>
      <c r="E43" t="s">
        <v>24</v>
      </c>
      <c r="F43" s="3">
        <v>45738</v>
      </c>
      <c r="G43" s="2">
        <v>3</v>
      </c>
    </row>
    <row r="44" spans="1:7" x14ac:dyDescent="0.25">
      <c r="A44" t="s">
        <v>101</v>
      </c>
      <c r="B44" t="s">
        <v>102</v>
      </c>
      <c r="C44" t="s">
        <v>14</v>
      </c>
      <c r="D44" t="s">
        <v>10</v>
      </c>
      <c r="E44" t="s">
        <v>11</v>
      </c>
      <c r="F44" s="3">
        <v>45844</v>
      </c>
      <c r="G44" s="2">
        <v>4</v>
      </c>
    </row>
    <row r="45" spans="1:7" x14ac:dyDescent="0.25">
      <c r="A45" t="s">
        <v>103</v>
      </c>
      <c r="B45" t="s">
        <v>104</v>
      </c>
      <c r="C45" t="s">
        <v>14</v>
      </c>
      <c r="D45" t="s">
        <v>15</v>
      </c>
      <c r="E45" t="s">
        <v>11</v>
      </c>
      <c r="F45" s="3">
        <v>45770</v>
      </c>
      <c r="G45" s="2">
        <v>2</v>
      </c>
    </row>
    <row r="46" spans="1:7" x14ac:dyDescent="0.25">
      <c r="A46" t="s">
        <v>105</v>
      </c>
      <c r="B46" t="s">
        <v>106</v>
      </c>
      <c r="C46" t="s">
        <v>14</v>
      </c>
      <c r="D46" t="s">
        <v>10</v>
      </c>
      <c r="E46" t="s">
        <v>34</v>
      </c>
      <c r="F46" s="3">
        <v>45659</v>
      </c>
      <c r="G46" s="2">
        <v>1</v>
      </c>
    </row>
    <row r="47" spans="1:7" x14ac:dyDescent="0.25">
      <c r="A47" t="s">
        <v>107</v>
      </c>
      <c r="B47" t="s">
        <v>108</v>
      </c>
      <c r="C47" t="s">
        <v>14</v>
      </c>
      <c r="D47" t="s">
        <v>10</v>
      </c>
      <c r="E47" t="s">
        <v>27</v>
      </c>
      <c r="F47" s="3">
        <v>45787</v>
      </c>
      <c r="G47" s="2">
        <v>4</v>
      </c>
    </row>
    <row r="48" spans="1:7" x14ac:dyDescent="0.25">
      <c r="A48" t="s">
        <v>109</v>
      </c>
      <c r="B48" t="s">
        <v>110</v>
      </c>
      <c r="C48" t="s">
        <v>14</v>
      </c>
      <c r="D48" t="s">
        <v>15</v>
      </c>
      <c r="E48" t="s">
        <v>27</v>
      </c>
      <c r="F48" s="3">
        <v>45877</v>
      </c>
      <c r="G48" s="2">
        <v>4</v>
      </c>
    </row>
    <row r="49" spans="1:7" x14ac:dyDescent="0.25">
      <c r="A49" t="s">
        <v>111</v>
      </c>
      <c r="B49" t="s">
        <v>112</v>
      </c>
      <c r="C49" t="s">
        <v>9</v>
      </c>
      <c r="D49" t="s">
        <v>15</v>
      </c>
      <c r="E49" t="s">
        <v>24</v>
      </c>
      <c r="F49" s="3">
        <v>45711</v>
      </c>
      <c r="G49" s="2">
        <v>1</v>
      </c>
    </row>
    <row r="50" spans="1:7" x14ac:dyDescent="0.25">
      <c r="A50" t="s">
        <v>113</v>
      </c>
      <c r="B50" t="s">
        <v>114</v>
      </c>
      <c r="C50" t="s">
        <v>14</v>
      </c>
      <c r="D50" t="s">
        <v>10</v>
      </c>
      <c r="E50" t="s">
        <v>19</v>
      </c>
      <c r="F50" s="3">
        <v>46000</v>
      </c>
      <c r="G50" s="2">
        <v>2</v>
      </c>
    </row>
    <row r="51" spans="1:7" x14ac:dyDescent="0.25">
      <c r="A51" t="s">
        <v>115</v>
      </c>
      <c r="B51" t="s">
        <v>116</v>
      </c>
      <c r="C51" t="s">
        <v>14</v>
      </c>
      <c r="D51" t="s">
        <v>10</v>
      </c>
      <c r="E51" t="s">
        <v>24</v>
      </c>
      <c r="F51" s="3">
        <v>45881</v>
      </c>
      <c r="G51" s="2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8"/>
  <sheetViews>
    <sheetView workbookViewId="0">
      <selection activeCell="F14" sqref="F14"/>
    </sheetView>
  </sheetViews>
  <sheetFormatPr defaultRowHeight="15" x14ac:dyDescent="0.25"/>
  <cols>
    <col min="1" max="1" width="20.28515625" customWidth="1"/>
    <col min="2" max="2" width="16" customWidth="1"/>
    <col min="3" max="3" width="14.85546875" customWidth="1"/>
  </cols>
  <sheetData>
    <row r="1" spans="1:3" x14ac:dyDescent="0.25">
      <c r="A1" s="16" t="s">
        <v>117</v>
      </c>
      <c r="B1" s="19" t="s">
        <v>118</v>
      </c>
      <c r="C1" s="17" t="s">
        <v>119</v>
      </c>
    </row>
    <row r="2" spans="1:3" x14ac:dyDescent="0.25">
      <c r="A2" s="18" t="s">
        <v>0</v>
      </c>
      <c r="B2" s="5" t="s">
        <v>120</v>
      </c>
      <c r="C2" s="7" t="s">
        <v>121</v>
      </c>
    </row>
    <row r="3" spans="1:3" x14ac:dyDescent="0.25">
      <c r="A3" s="18" t="s">
        <v>1</v>
      </c>
      <c r="B3" s="5" t="s">
        <v>120</v>
      </c>
      <c r="C3" s="7" t="s">
        <v>121</v>
      </c>
    </row>
    <row r="4" spans="1:3" x14ac:dyDescent="0.25">
      <c r="A4" s="18" t="s">
        <v>2</v>
      </c>
      <c r="B4" s="5" t="s">
        <v>120</v>
      </c>
      <c r="C4" s="7" t="s">
        <v>121</v>
      </c>
    </row>
    <row r="5" spans="1:3" x14ac:dyDescent="0.25">
      <c r="A5" s="18" t="s">
        <v>3</v>
      </c>
      <c r="B5" s="5" t="s">
        <v>120</v>
      </c>
      <c r="C5" s="7" t="s">
        <v>121</v>
      </c>
    </row>
    <row r="6" spans="1:3" x14ac:dyDescent="0.25">
      <c r="A6" s="18" t="s">
        <v>4</v>
      </c>
      <c r="B6" s="5" t="s">
        <v>120</v>
      </c>
      <c r="C6" s="7" t="s">
        <v>121</v>
      </c>
    </row>
    <row r="7" spans="1:3" x14ac:dyDescent="0.25">
      <c r="A7" s="18" t="s">
        <v>5</v>
      </c>
      <c r="B7" s="5" t="s">
        <v>122</v>
      </c>
      <c r="C7" s="7" t="s">
        <v>123</v>
      </c>
    </row>
    <row r="8" spans="1:3" x14ac:dyDescent="0.25">
      <c r="A8" s="10" t="s">
        <v>6</v>
      </c>
      <c r="B8" s="20" t="s">
        <v>122</v>
      </c>
      <c r="C8" s="9" t="s">
        <v>124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>
      <selection activeCell="B2" sqref="B2:B3"/>
    </sheetView>
  </sheetViews>
  <sheetFormatPr defaultRowHeight="15" x14ac:dyDescent="0.25"/>
  <cols>
    <col min="1" max="1" width="13" customWidth="1"/>
    <col min="2" max="2" width="16.7109375" customWidth="1"/>
  </cols>
  <sheetData>
    <row r="1" spans="1:2" x14ac:dyDescent="0.25">
      <c r="A1" s="12" t="s">
        <v>2</v>
      </c>
      <c r="B1" s="11" t="s">
        <v>127</v>
      </c>
    </row>
    <row r="2" spans="1:2" x14ac:dyDescent="0.25">
      <c r="A2" s="18" t="s">
        <v>9</v>
      </c>
      <c r="B2" s="7">
        <v>23</v>
      </c>
    </row>
    <row r="3" spans="1:2" x14ac:dyDescent="0.25">
      <c r="A3" s="10" t="s">
        <v>14</v>
      </c>
      <c r="B3" s="9">
        <v>27</v>
      </c>
    </row>
  </sheetData>
  <pageMargins left="0.75" right="0.75" top="1" bottom="1" header="0.5" footer="0.5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A10" sqref="A10"/>
    </sheetView>
  </sheetViews>
  <sheetFormatPr defaultRowHeight="15" x14ac:dyDescent="0.25"/>
  <cols>
    <col min="1" max="1" width="21.28515625" customWidth="1"/>
    <col min="2" max="2" width="15.140625" customWidth="1"/>
  </cols>
  <sheetData>
    <row r="1" spans="1:2" x14ac:dyDescent="0.25">
      <c r="A1" s="12" t="s">
        <v>128</v>
      </c>
      <c r="B1" s="11" t="s">
        <v>127</v>
      </c>
    </row>
    <row r="2" spans="1:2" x14ac:dyDescent="0.25">
      <c r="A2" s="18" t="s">
        <v>10</v>
      </c>
      <c r="B2" s="7">
        <v>16</v>
      </c>
    </row>
    <row r="3" spans="1:2" x14ac:dyDescent="0.25">
      <c r="A3" s="18" t="s">
        <v>15</v>
      </c>
      <c r="B3" s="7">
        <v>25</v>
      </c>
    </row>
    <row r="4" spans="1:2" x14ac:dyDescent="0.25">
      <c r="A4" s="10" t="s">
        <v>18</v>
      </c>
      <c r="B4" s="9">
        <v>9</v>
      </c>
    </row>
  </sheetData>
  <pageMargins left="0.75" right="0.75" top="1" bottom="1" header="0.5" footer="0.5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6"/>
  <sheetViews>
    <sheetView workbookViewId="0">
      <selection activeCell="C4" sqref="C4"/>
    </sheetView>
  </sheetViews>
  <sheetFormatPr defaultRowHeight="15" x14ac:dyDescent="0.25"/>
  <cols>
    <col min="1" max="1" width="23.5703125" bestFit="1" customWidth="1"/>
    <col min="2" max="2" width="13" customWidth="1"/>
  </cols>
  <sheetData>
    <row r="1" spans="1:2" x14ac:dyDescent="0.25">
      <c r="A1" s="12" t="s">
        <v>4</v>
      </c>
      <c r="B1" s="11" t="s">
        <v>127</v>
      </c>
    </row>
    <row r="2" spans="1:2" x14ac:dyDescent="0.25">
      <c r="A2" s="18" t="s">
        <v>11</v>
      </c>
      <c r="B2" s="7">
        <v>13</v>
      </c>
    </row>
    <row r="3" spans="1:2" x14ac:dyDescent="0.25">
      <c r="A3" s="18" t="s">
        <v>19</v>
      </c>
      <c r="B3" s="7">
        <v>9</v>
      </c>
    </row>
    <row r="4" spans="1:2" x14ac:dyDescent="0.25">
      <c r="A4" s="18" t="s">
        <v>24</v>
      </c>
      <c r="B4" s="7">
        <v>12</v>
      </c>
    </row>
    <row r="5" spans="1:2" x14ac:dyDescent="0.25">
      <c r="A5" s="18" t="s">
        <v>27</v>
      </c>
      <c r="B5" s="7">
        <v>8</v>
      </c>
    </row>
    <row r="6" spans="1:2" x14ac:dyDescent="0.25">
      <c r="A6" s="10" t="s">
        <v>34</v>
      </c>
      <c r="B6" s="9">
        <v>8</v>
      </c>
    </row>
  </sheetData>
  <pageMargins left="0.75" right="0.75" top="1" bottom="1" header="0.5" footer="0.5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9"/>
  <sheetViews>
    <sheetView workbookViewId="0">
      <selection activeCell="D11" sqref="D11"/>
    </sheetView>
  </sheetViews>
  <sheetFormatPr defaultRowHeight="15" x14ac:dyDescent="0.25"/>
  <cols>
    <col min="1" max="1" width="20" customWidth="1"/>
    <col min="2" max="2" width="25.28515625" customWidth="1"/>
  </cols>
  <sheetData>
    <row r="1" spans="1:2" s="15" customFormat="1" x14ac:dyDescent="0.25">
      <c r="A1" s="13" t="s">
        <v>6</v>
      </c>
      <c r="B1" s="14" t="s">
        <v>129</v>
      </c>
    </row>
    <row r="2" spans="1:2" x14ac:dyDescent="0.25">
      <c r="A2" s="6">
        <v>1</v>
      </c>
      <c r="B2" s="7">
        <v>13</v>
      </c>
    </row>
    <row r="3" spans="1:2" x14ac:dyDescent="0.25">
      <c r="A3" s="6">
        <v>2</v>
      </c>
      <c r="B3" s="7">
        <v>9</v>
      </c>
    </row>
    <row r="4" spans="1:2" x14ac:dyDescent="0.25">
      <c r="A4" s="6">
        <v>3</v>
      </c>
      <c r="B4" s="7">
        <v>12</v>
      </c>
    </row>
    <row r="5" spans="1:2" x14ac:dyDescent="0.25">
      <c r="A5" s="6">
        <v>4</v>
      </c>
      <c r="B5" s="7">
        <v>13</v>
      </c>
    </row>
    <row r="6" spans="1:2" x14ac:dyDescent="0.25">
      <c r="A6" s="8">
        <v>5</v>
      </c>
      <c r="B6" s="9">
        <v>3</v>
      </c>
    </row>
    <row r="8" spans="1:2" x14ac:dyDescent="0.25">
      <c r="A8" s="16" t="s">
        <v>125</v>
      </c>
      <c r="B8" s="17" t="s">
        <v>126</v>
      </c>
    </row>
    <row r="9" spans="1:2" x14ac:dyDescent="0.25">
      <c r="A9" s="8">
        <v>2.68</v>
      </c>
      <c r="B9" s="9">
        <v>4.55</v>
      </c>
    </row>
  </sheetData>
  <pageMargins left="0.75" right="0.75" top="1" bottom="1" header="0.5" footer="0.5"/>
  <pageSetup paperSize="9" orientation="portrait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Banco_de_Dados</vt:lpstr>
      <vt:lpstr>Descricao_Variaveis</vt:lpstr>
      <vt:lpstr>Grafico_Sexo</vt:lpstr>
      <vt:lpstr>Grafico_Status</vt:lpstr>
      <vt:lpstr>Grafico_Historico</vt:lpstr>
      <vt:lpstr>Grafico_Frequencia_Mensal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Eric Aloise de Sousa - 25027482</cp:lastModifiedBy>
  <dcterms:created xsi:type="dcterms:W3CDTF">2026-03-24T00:56:42Z</dcterms:created>
  <dcterms:modified xsi:type="dcterms:W3CDTF">2026-03-24T01:10:50Z</dcterms:modified>
</cp:coreProperties>
</file>